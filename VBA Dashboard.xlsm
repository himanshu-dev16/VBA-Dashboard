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c\Downloads\Projects\Project4\"/>
    </mc:Choice>
  </mc:AlternateContent>
  <xr:revisionPtr revIDLastSave="0" documentId="13_ncr:1_{1A719AC0-660C-4553-AD65-278082D2D213}" xr6:coauthVersionLast="46" xr6:coauthVersionMax="46" xr10:uidLastSave="{00000000-0000-0000-0000-000000000000}"/>
  <bookViews>
    <workbookView xWindow="-108" yWindow="-108" windowWidth="23256" windowHeight="12456" xr2:uid="{4948AD26-ED90-436D-8494-FC39DD87BF70}"/>
  </bookViews>
  <sheets>
    <sheet name="Executive_Dashboard" sheetId="1" r:id="rId1"/>
    <sheet name="Control_Panel" sheetId="2" r:id="rId2"/>
    <sheet name="Staging_Cube" sheetId="3" r:id="rId3"/>
    <sheet name="Raw_Ledger" sheetId="4" r:id="rId4"/>
  </sheets>
  <definedNames>
    <definedName name="_xlnm._FilterDatabase" localSheetId="3" hidden="1">Raw_Ledger!$A$1:$H$4</definedName>
    <definedName name="Masterdata">OFFSET(Raw_Ledger!$A$1,0,0,COUNTA(Raw_Ledger!$A:$A),8)</definedName>
    <definedName name="RegionColumn">OFFSET(Raw_Ledger!$C$2,0,0,COUNTA(Raw_Ledger!$C:$C)-1,1)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L3" i="1" s="1"/>
  <c r="C3" i="1"/>
  <c r="I3" i="1" l="1"/>
</calcChain>
</file>

<file path=xl/sharedStrings.xml><?xml version="1.0" encoding="utf-8"?>
<sst xmlns="http://schemas.openxmlformats.org/spreadsheetml/2006/main" count="46" uniqueCount="25">
  <si>
    <t>Transaction_ID</t>
  </si>
  <si>
    <t>Date</t>
  </si>
  <si>
    <t>Region</t>
  </si>
  <si>
    <t>Cost_Center</t>
  </si>
  <si>
    <t>Revenue</t>
  </si>
  <si>
    <t>Target_Revenue</t>
  </si>
  <si>
    <t>Actual_Opex</t>
  </si>
  <si>
    <t>Budget_Opex</t>
  </si>
  <si>
    <t>TXN001</t>
  </si>
  <si>
    <t>AMER</t>
  </si>
  <si>
    <t>R&amp;D</t>
  </si>
  <si>
    <t>TXN002</t>
  </si>
  <si>
    <t>APAC</t>
  </si>
  <si>
    <t>Sales</t>
  </si>
  <si>
    <t>TXN003</t>
  </si>
  <si>
    <t>EMEA</t>
  </si>
  <si>
    <t>Marketing</t>
  </si>
  <si>
    <t>Filter_Regions</t>
  </si>
  <si>
    <t>ALL</t>
  </si>
  <si>
    <t>LATAM</t>
  </si>
  <si>
    <t>Select Region:</t>
  </si>
  <si>
    <t>Target Achieved %</t>
  </si>
  <si>
    <t>Budget Variance %</t>
  </si>
  <si>
    <t>Total Revenue:</t>
  </si>
  <si>
    <t>Total Opex: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</si>
</sst>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₹&quot;\ #,##0.00;[Red]&quot;₹&quot;\ \-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 Unicode MS"/>
      <family val="2"/>
    </font>
    <font>
      <sz val="11"/>
      <color rgb="FF1F1F1F"/>
      <name val="Arial"/>
      <family val="2"/>
    </font>
    <font>
      <b/>
      <sz val="11"/>
      <color rgb="FF1F1F1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/>
    <xf numFmtId="0" fontId="1" fillId="2" borderId="1" xfId="0" applyFont="1" applyFill="1" applyBorder="1"/>
    <xf numFmtId="0" fontId="3" fillId="0" borderId="1" xfId="0" applyFont="1" applyBorder="1" applyAlignment="1">
      <alignment horizontal="left" vertical="center" wrapText="1" indent="1" readingOrder="1"/>
    </xf>
    <xf numFmtId="14" fontId="3" fillId="0" borderId="1" xfId="0" applyNumberFormat="1" applyFont="1" applyBorder="1" applyAlignment="1">
      <alignment horizontal="left" vertical="center" wrapText="1" indent="1" readingOrder="1"/>
    </xf>
    <xf numFmtId="8" fontId="3" fillId="0" borderId="1" xfId="0" applyNumberFormat="1" applyFont="1" applyBorder="1" applyAlignment="1">
      <alignment horizontal="left" vertical="center" wrapText="1" indent="1" readingOrder="1"/>
    </xf>
    <xf numFmtId="0" fontId="3" fillId="0" borderId="1" xfId="0" applyFont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/>
    </xf>
    <xf numFmtId="8" fontId="0" fillId="0" borderId="0" xfId="0" applyNumberFormat="1"/>
    <xf numFmtId="0" fontId="4" fillId="0" borderId="1" xfId="0" applyFont="1" applyBorder="1" applyAlignment="1">
      <alignment horizontal="left" vertical="center" wrapText="1" indent="1" readingOrder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Regional Spend vs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AMER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Staging_Cube!$E$1:$H$1</c:f>
              <c:strCache>
                <c:ptCount val="4"/>
                <c:pt idx="0">
                  <c:v>Revenue</c:v>
                </c:pt>
                <c:pt idx="1">
                  <c:v>Target_Revenue</c:v>
                </c:pt>
                <c:pt idx="2">
                  <c:v>Actual_Opex</c:v>
                </c:pt>
                <c:pt idx="3">
                  <c:v>Budget_Opex</c:v>
                </c:pt>
              </c:strCache>
            </c:strRef>
          </c:cat>
          <c:val>
            <c:numRef>
              <c:f>Staging_Cube!$E$2:$H$2</c:f>
              <c:numCache>
                <c:formatCode>"₹"#,##0.00_);[Red]\("₹"#,##0.00\)</c:formatCode>
                <c:ptCount val="4"/>
                <c:pt idx="0">
                  <c:v>120000</c:v>
                </c:pt>
                <c:pt idx="1">
                  <c:v>100000</c:v>
                </c:pt>
                <c:pt idx="2">
                  <c:v>45000</c:v>
                </c:pt>
                <c:pt idx="3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2A-4FFE-ABD1-F4C09B17BC6D}"/>
            </c:ext>
          </c:extLst>
        </c:ser>
        <c:ser>
          <c:idx val="1"/>
          <c:order val="1"/>
          <c:tx>
            <c:v>APAC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Staging_Cube!$E$1:$H$1</c:f>
              <c:strCache>
                <c:ptCount val="4"/>
                <c:pt idx="0">
                  <c:v>Revenue</c:v>
                </c:pt>
                <c:pt idx="1">
                  <c:v>Target_Revenue</c:v>
                </c:pt>
                <c:pt idx="2">
                  <c:v>Actual_Opex</c:v>
                </c:pt>
                <c:pt idx="3">
                  <c:v>Budget_Opex</c:v>
                </c:pt>
              </c:strCache>
            </c:strRef>
          </c:cat>
          <c:val>
            <c:numRef>
              <c:f>Staging_Cube!$E$3:$H$3</c:f>
              <c:numCache>
                <c:formatCode>"₹"#,##0.00_);[Red]\("₹"#,##0.00\)</c:formatCode>
                <c:ptCount val="4"/>
                <c:pt idx="0">
                  <c:v>85000</c:v>
                </c:pt>
                <c:pt idx="1">
                  <c:v>90000</c:v>
                </c:pt>
                <c:pt idx="2">
                  <c:v>35000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2A-4FFE-ABD1-F4C09B17BC6D}"/>
            </c:ext>
          </c:extLst>
        </c:ser>
        <c:ser>
          <c:idx val="2"/>
          <c:order val="2"/>
          <c:tx>
            <c:v>EMEA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Staging_Cube!$E$1:$H$1</c:f>
              <c:strCache>
                <c:ptCount val="4"/>
                <c:pt idx="0">
                  <c:v>Revenue</c:v>
                </c:pt>
                <c:pt idx="1">
                  <c:v>Target_Revenue</c:v>
                </c:pt>
                <c:pt idx="2">
                  <c:v>Actual_Opex</c:v>
                </c:pt>
                <c:pt idx="3">
                  <c:v>Budget_Opex</c:v>
                </c:pt>
              </c:strCache>
            </c:strRef>
          </c:cat>
          <c:val>
            <c:numRef>
              <c:f>Staging_Cube!$E$4:$H$4</c:f>
              <c:numCache>
                <c:formatCode>"₹"#,##0.00_);[Red]\("₹"#,##0.00\)</c:formatCode>
                <c:ptCount val="4"/>
                <c:pt idx="0">
                  <c:v>95000</c:v>
                </c:pt>
                <c:pt idx="1">
                  <c:v>95000</c:v>
                </c:pt>
                <c:pt idx="2">
                  <c:v>40000</c:v>
                </c:pt>
                <c:pt idx="3">
                  <c:v>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2A-4FFE-ABD1-F4C09B17B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0780079"/>
        <c:axId val="2050782159"/>
      </c:barChart>
      <c:catAx>
        <c:axId val="205078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782159"/>
        <c:crosses val="autoZero"/>
        <c:auto val="1"/>
        <c:lblAlgn val="ctr"/>
        <c:lblOffset val="100"/>
        <c:noMultiLvlLbl val="0"/>
      </c:catAx>
      <c:valAx>
        <c:axId val="205078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#,##0.00_);[Red]\(&quot;₹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780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7620</xdr:rowOff>
    </xdr:from>
    <xdr:to>
      <xdr:col>19</xdr:col>
      <xdr:colOff>601980</xdr:colOff>
      <xdr:row>27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E655-494D-4CBB-A630-176565DA0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8E39-61BB-4CDC-8B32-C4D084AF2DD7}">
  <sheetPr codeName="Sheet1"/>
  <dimension ref="B2:L5"/>
  <sheetViews>
    <sheetView showGridLines="0" tabSelected="1" workbookViewId="0">
      <selection activeCell="N4" sqref="N4"/>
    </sheetView>
  </sheetViews>
  <sheetFormatPr defaultRowHeight="14.4" x14ac:dyDescent="0.3"/>
  <cols>
    <col min="2" max="2" width="15.21875" customWidth="1"/>
    <col min="3" max="3" width="11.88671875" bestFit="1" customWidth="1"/>
    <col min="9" max="9" width="16" bestFit="1" customWidth="1"/>
    <col min="12" max="12" width="16.21875" bestFit="1" customWidth="1"/>
  </cols>
  <sheetData>
    <row r="2" spans="2:12" x14ac:dyDescent="0.3">
      <c r="B2" t="s">
        <v>20</v>
      </c>
      <c r="C2" s="10" t="s">
        <v>18</v>
      </c>
      <c r="H2" s="11"/>
      <c r="I2" s="11" t="s">
        <v>21</v>
      </c>
      <c r="J2" s="11"/>
      <c r="K2" s="11"/>
      <c r="L2" s="11" t="s">
        <v>22</v>
      </c>
    </row>
    <row r="3" spans="2:12" x14ac:dyDescent="0.3">
      <c r="B3" t="s">
        <v>23</v>
      </c>
      <c r="C3" s="8">
        <f>SUM(Staging_Cube!E:E)</f>
        <v>300000</v>
      </c>
      <c r="H3" s="11"/>
      <c r="I3" s="12">
        <f>IF(C3=0, 0, (C3-C4)/C3)</f>
        <v>0.6</v>
      </c>
      <c r="J3" s="11"/>
      <c r="K3" s="11"/>
      <c r="L3" s="12">
        <f>IF(SUM(Staging_Cube!H:H)=0, 0, (SUM(Staging_Cube!H:H)-C4)/SUM(Staging_Cube!H:H))</f>
        <v>1.6393442622950821E-2</v>
      </c>
    </row>
    <row r="4" spans="2:12" x14ac:dyDescent="0.3">
      <c r="B4" t="s">
        <v>24</v>
      </c>
      <c r="C4" s="8">
        <f>SUM(Staging_Cube!G:G)</f>
        <v>120000</v>
      </c>
      <c r="H4" s="11"/>
      <c r="I4" s="11"/>
      <c r="J4" s="11"/>
      <c r="K4" s="11"/>
      <c r="L4" s="11"/>
    </row>
    <row r="5" spans="2:12" x14ac:dyDescent="0.3">
      <c r="H5" s="11"/>
      <c r="I5" s="11"/>
      <c r="J5" s="11"/>
      <c r="K5" s="11"/>
      <c r="L5" s="1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954943-ECEC-4033-A680-4E66331BF97F}">
          <x14:formula1>
            <xm:f>Control_Panel!$A$2:$A$6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526F-B08F-4CBA-9A35-081FC2F45FE8}">
  <sheetPr codeName="Sheet2"/>
  <dimension ref="A1:A6"/>
  <sheetViews>
    <sheetView workbookViewId="0">
      <selection activeCell="C11" sqref="C11"/>
    </sheetView>
  </sheetViews>
  <sheetFormatPr defaultRowHeight="14.4" x14ac:dyDescent="0.3"/>
  <cols>
    <col min="1" max="15" width="14.44140625" customWidth="1"/>
  </cols>
  <sheetData>
    <row r="1" spans="1:1" x14ac:dyDescent="0.3">
      <c r="A1" t="s">
        <v>17</v>
      </c>
    </row>
    <row r="2" spans="1:1" x14ac:dyDescent="0.3">
      <c r="A2" s="7" t="s">
        <v>18</v>
      </c>
    </row>
    <row r="3" spans="1:1" ht="12.6" customHeight="1" x14ac:dyDescent="0.3">
      <c r="A3" s="6" t="s">
        <v>9</v>
      </c>
    </row>
    <row r="4" spans="1:1" x14ac:dyDescent="0.3">
      <c r="A4" s="6" t="s">
        <v>12</v>
      </c>
    </row>
    <row r="5" spans="1:1" x14ac:dyDescent="0.3">
      <c r="A5" s="7" t="s">
        <v>15</v>
      </c>
    </row>
    <row r="6" spans="1:1" x14ac:dyDescent="0.3">
      <c r="A6" s="7" t="s">
        <v>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2DF91-6673-4C65-A014-CDE519E9F74D}">
  <sheetPr codeName="Sheet3"/>
  <dimension ref="A1:H4"/>
  <sheetViews>
    <sheetView workbookViewId="0">
      <selection activeCell="G25" sqref="G25"/>
    </sheetView>
  </sheetViews>
  <sheetFormatPr defaultRowHeight="14.4" x14ac:dyDescent="0.3"/>
  <cols>
    <col min="1" max="1" width="20.88671875" customWidth="1"/>
    <col min="2" max="2" width="12.5546875" bestFit="1" customWidth="1"/>
    <col min="3" max="3" width="10.88671875" customWidth="1"/>
    <col min="4" max="4" width="16.5546875" customWidth="1"/>
    <col min="5" max="5" width="14.6640625" bestFit="1" customWidth="1"/>
    <col min="6" max="6" width="18.77734375" customWidth="1"/>
    <col min="7" max="7" width="16.6640625" customWidth="1"/>
    <col min="8" max="8" width="17.33203125" customWidth="1"/>
  </cols>
  <sheetData>
    <row r="1" spans="1:8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</row>
    <row r="2" spans="1:8" x14ac:dyDescent="0.3">
      <c r="A2" s="3" t="s">
        <v>8</v>
      </c>
      <c r="B2" s="4">
        <v>46037</v>
      </c>
      <c r="C2" s="3" t="s">
        <v>9</v>
      </c>
      <c r="D2" s="3" t="s">
        <v>10</v>
      </c>
      <c r="E2" s="5">
        <v>120000</v>
      </c>
      <c r="F2" s="5">
        <v>100000</v>
      </c>
      <c r="G2" s="5">
        <v>45000</v>
      </c>
      <c r="H2" s="5">
        <v>50000</v>
      </c>
    </row>
    <row r="3" spans="1:8" x14ac:dyDescent="0.3">
      <c r="A3" s="3" t="s">
        <v>11</v>
      </c>
      <c r="B3" s="4">
        <v>46073</v>
      </c>
      <c r="C3" s="3" t="s">
        <v>12</v>
      </c>
      <c r="D3" s="3" t="s">
        <v>13</v>
      </c>
      <c r="E3" s="5">
        <v>85000</v>
      </c>
      <c r="F3" s="5">
        <v>90000</v>
      </c>
      <c r="G3" s="5">
        <v>35000</v>
      </c>
      <c r="H3" s="5">
        <v>30000</v>
      </c>
    </row>
    <row r="4" spans="1:8" x14ac:dyDescent="0.3">
      <c r="A4" s="3" t="s">
        <v>14</v>
      </c>
      <c r="B4" s="4">
        <v>46086</v>
      </c>
      <c r="C4" s="3" t="s">
        <v>15</v>
      </c>
      <c r="D4" s="3" t="s">
        <v>16</v>
      </c>
      <c r="E4" s="5">
        <v>95000</v>
      </c>
      <c r="F4" s="5">
        <v>95000</v>
      </c>
      <c r="G4" s="5">
        <v>40000</v>
      </c>
      <c r="H4" s="5">
        <v>42000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A0AAB-2BCA-4CE6-8D72-AF12E8D96AB9}">
  <sheetPr codeName="Sheet4"/>
  <dimension ref="A1:H4"/>
  <sheetViews>
    <sheetView zoomScale="106" workbookViewId="0">
      <selection activeCell="I8" sqref="I8"/>
    </sheetView>
  </sheetViews>
  <sheetFormatPr defaultRowHeight="14.4" x14ac:dyDescent="0.3"/>
  <cols>
    <col min="1" max="1" width="13.6640625" bestFit="1" customWidth="1"/>
    <col min="2" max="2" width="12.77734375" bestFit="1" customWidth="1"/>
    <col min="3" max="3" width="10.33203125" customWidth="1"/>
    <col min="4" max="4" width="12.6640625" bestFit="1" customWidth="1"/>
    <col min="5" max="5" width="14.88671875" bestFit="1" customWidth="1"/>
    <col min="6" max="6" width="16.44140625" bestFit="1" customWidth="1"/>
    <col min="7" max="7" width="13.109375" bestFit="1" customWidth="1"/>
    <col min="8" max="8" width="16.21875" customWidth="1"/>
  </cols>
  <sheetData>
    <row r="1" spans="1:8" ht="22.2" customHeight="1" x14ac:dyDescent="0.35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3" t="s">
        <v>8</v>
      </c>
      <c r="B2" s="4">
        <v>46037</v>
      </c>
      <c r="C2" s="3" t="s">
        <v>9</v>
      </c>
      <c r="D2" s="3" t="s">
        <v>10</v>
      </c>
      <c r="E2" s="5">
        <v>120000</v>
      </c>
      <c r="F2" s="5">
        <v>100000</v>
      </c>
      <c r="G2" s="5">
        <v>45000</v>
      </c>
      <c r="H2" s="5">
        <v>50000</v>
      </c>
    </row>
    <row r="3" spans="1:8" x14ac:dyDescent="0.3">
      <c r="A3" s="3" t="s">
        <v>11</v>
      </c>
      <c r="B3" s="4">
        <v>46073</v>
      </c>
      <c r="C3" s="3" t="s">
        <v>12</v>
      </c>
      <c r="D3" s="3" t="s">
        <v>13</v>
      </c>
      <c r="E3" s="5">
        <v>85000</v>
      </c>
      <c r="F3" s="5">
        <v>90000</v>
      </c>
      <c r="G3" s="5">
        <v>35000</v>
      </c>
      <c r="H3" s="5">
        <v>30000</v>
      </c>
    </row>
    <row r="4" spans="1:8" x14ac:dyDescent="0.3">
      <c r="A4" s="3" t="s">
        <v>14</v>
      </c>
      <c r="B4" s="4">
        <v>46086</v>
      </c>
      <c r="C4" s="3" t="s">
        <v>15</v>
      </c>
      <c r="D4" s="3" t="s">
        <v>16</v>
      </c>
      <c r="E4" s="5">
        <v>95000</v>
      </c>
      <c r="F4" s="5">
        <v>95000</v>
      </c>
      <c r="G4" s="5">
        <v>40000</v>
      </c>
      <c r="H4" s="5">
        <v>42000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Executive_Dashboard</vt:lpstr>
      <vt:lpstr>Control_Panel</vt:lpstr>
      <vt:lpstr>Staging_Cube</vt:lpstr>
      <vt:lpstr>Raw_Ledger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poonam gupta</dc:creator>
  <cp:lastModifiedBy>poonam gupta</cp:lastModifiedBy>
  <dcterms:created xsi:type="dcterms:W3CDTF">2026-07-18T10:01:05Z</dcterms:created>
  <dcterms:modified xsi:type="dcterms:W3CDTF">2026-07-26T11:21:17Z</dcterms:modified>
</cp:coreProperties>
</file>